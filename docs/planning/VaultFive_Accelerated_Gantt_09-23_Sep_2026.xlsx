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94599d136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" sheetId="1" r:id="Rc9a930a5fc724ecd"/>
    <x:sheet xmlns:r="http://schemas.openxmlformats.org/officeDocument/2006/relationships" name="Sprint Summary" sheetId="2" r:id="R56e68b1a3d2e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"/>
    <x:numFmt numFmtId="201" formatCode="dd-mmm-yyyy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3" fillId="4" borderId="0" xfId="0" applyNumberFormat="1" applyFont="1" applyFill="1" applyBorder="1" applyAlignment="1">
      <x:alignment horizontal="center" wrapText="1"/>
    </x:xf>
    <x:xf numFmtId="200" fontId="3" fillId="4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5B9BD5"/>
      </x:font>
      <x:fill>
        <x:patternFill patternType="solid">
          <x:bgColor rgb="FF5B9BD5"/>
        </x:patternFill>
      </x:fill>
    </x:dxf>
    <x:dxf>
      <x:font>
        <x:color rgb="FF70AD47"/>
      </x:font>
      <x:fill>
        <x:patternFill patternType="solid">
          <x:bgColor rgb="FF70AD4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ea4214a874e3c" /><Relationship Type="http://schemas.openxmlformats.org/officeDocument/2006/relationships/theme" Target="/xl/theme/theme1.xml" Id="R47ab0505621e4ff5" /><Relationship Type="http://schemas.openxmlformats.org/officeDocument/2006/relationships/sharedStrings" Target="/xl/sharedStrings.xml" Id="R21e0fc0c79aa4fc6" /><Relationship Type="http://schemas.openxmlformats.org/officeDocument/2006/relationships/worksheet" Target="/xl/worksheets/sheet1.xml" Id="Rc9a930a5fc724ecd" /><Relationship Type="http://schemas.openxmlformats.org/officeDocument/2006/relationships/worksheet" Target="/xl/worksheets/sheet2.xml" Id="R56e68b1a3d2e4c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36" hidden="0" customWidth="1"/>
    <x:col min="3" max="3" width="18" hidden="0" customWidth="1"/>
    <x:col min="4" max="4" width="13" hidden="0" customWidth="1"/>
    <x:col min="5" max="5" width="13" hidden="0" customWidth="1"/>
    <x:col min="6" max="6" width="7" hidden="0" customWidth="1"/>
    <x:col min="7" max="7" width="13" hidden="0" customWidth="1"/>
    <x:col min="8" max="8" width="1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</x:cols>
  <x:sheetData>
    <x:row r="1">
      <x:c r="A1" s="4" t="str">
        <x:v>VaultFive — Accelerated Project Gantt (Planned Schedule)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>
      <x:c r="A2" s="10" t="str">
        <x:v>Planning horizon: 9–23 September 2026. Target: submission-ready by the third week of September. Planned dates must be updated against actual progress.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</x:row>
    <x:row r="4">
      <x:c r="A4" s="17" t="str">
        <x:v>ID</x:v>
      </x:c>
      <x:c r="B4" s="17" t="str">
        <x:v>Task / Deliverable</x:v>
      </x:c>
      <x:c r="C4" s="17" t="str">
        <x:v>Owner</x:v>
      </x:c>
      <x:c r="D4" s="17" t="str">
        <x:v>Start</x:v>
      </x:c>
      <x:c r="E4" s="17" t="str">
        <x:v>Finish</x:v>
      </x:c>
      <x:c r="F4" s="17" t="str">
        <x:v>Days</x:v>
      </x:c>
      <x:c r="G4" s="17" t="str">
        <x:v>Status</x:v>
      </x:c>
      <x:c r="H4" s="17" t="str">
        <x:v>Phase</x:v>
      </x:c>
      <x:c r="I4" s="22" t="n">
        <x:v>46274</x:v>
      </x:c>
      <x:c r="J4" s="22" t="n">
        <x:v>46275</x:v>
      </x:c>
      <x:c r="K4" s="22" t="n">
        <x:v>46276</x:v>
      </x:c>
      <x:c r="L4" s="22" t="n">
        <x:v>46277</x:v>
      </x:c>
      <x:c r="M4" s="22" t="n">
        <x:v>46278</x:v>
      </x:c>
      <x:c r="N4" s="22" t="n">
        <x:v>46279</x:v>
      </x:c>
      <x:c r="O4" s="22" t="n">
        <x:v>46280</x:v>
      </x:c>
      <x:c r="P4" s="22" t="n">
        <x:v>46281</x:v>
      </x:c>
      <x:c r="Q4" s="22" t="n">
        <x:v>46282</x:v>
      </x:c>
      <x:c r="R4" s="22" t="n">
        <x:v>46283</x:v>
      </x:c>
      <x:c r="S4" s="22" t="n">
        <x:v>46284</x:v>
      </x:c>
      <x:c r="T4" s="22" t="n">
        <x:v>46285</x:v>
      </x:c>
      <x:c r="U4" s="22" t="n">
        <x:v>46286</x:v>
      </x:c>
      <x:c r="V4" s="22" t="n">
        <x:v>46287</x:v>
      </x:c>
      <x:c r="W4" s="22" t="n">
        <x:v>46288</x:v>
      </x:c>
    </x:row>
    <x:row r="5">
      <x:c r="A5" s="26" t="str">
        <x:v>1</x:v>
      </x:c>
      <x:c r="B5" s="26" t="str">
        <x:v>Project setup &amp; repository baseline</x:v>
      </x:c>
      <x:c r="C5" s="26" t="str">
        <x:v>Caleb</x:v>
      </x:c>
      <x:c r="D5" s="27" t="n">
        <x:v>46274</x:v>
      </x:c>
      <x:c r="E5" s="27" t="n">
        <x:v>46274</x:v>
      </x:c>
      <x:c r="F5" s="26" t="n">
        <x:f>E5-D5+1</x:f>
        <x:v>1</x:v>
      </x:c>
      <x:c r="G5" s="26" t="str">
        <x:v>In Progress</x:v>
      </x:c>
      <x:c r="H5" s="26" t="str">
        <x:v>Sprint 1</x:v>
      </x:c>
      <x:c r="I5" t="n">
        <x:f>IF(AND(I$4&gt;=$D5,I$4&lt;=$E5),1,"")</x:f>
        <x:v>1</x:v>
      </x:c>
      <x:c r="J5" t="str">
        <x:f>IF(AND(J$4&gt;=$D5,J$4&lt;=$E5),1,"")</x:f>
      </x:c>
      <x:c r="K5" t="str">
        <x:f>IF(AND(K$4&gt;=$D5,K$4&lt;=$E5),1,"")</x:f>
      </x:c>
      <x:c r="L5" t="str">
        <x:f>IF(AND(L$4&gt;=$D5,L$4&lt;=$E5),1,"")</x:f>
      </x:c>
      <x:c r="M5" t="str">
        <x:f>IF(AND(M$4&gt;=$D5,M$4&lt;=$E5),1,"")</x:f>
      </x:c>
      <x:c r="N5" t="str">
        <x:f>IF(AND(N$4&gt;=$D5,N$4&lt;=$E5),1,"")</x:f>
      </x:c>
      <x:c r="O5" t="str">
        <x:f>IF(AND(O$4&gt;=$D5,O$4&lt;=$E5),1,"")</x:f>
      </x:c>
      <x:c r="P5" t="str">
        <x:f>IF(AND(P$4&gt;=$D5,P$4&lt;=$E5),1,"")</x:f>
      </x:c>
      <x:c r="Q5" t="str">
        <x:f>IF(AND(Q$4&gt;=$D5,Q$4&lt;=$E5),1,"")</x:f>
      </x:c>
      <x:c r="R5" t="str">
        <x:f>IF(AND(R$4&gt;=$D5,R$4&lt;=$E5),1,"")</x:f>
      </x:c>
      <x:c r="S5" t="str">
        <x:f>IF(AND(S$4&gt;=$D5,S$4&lt;=$E5),1,"")</x:f>
      </x:c>
      <x:c r="T5" t="str">
        <x:f>IF(AND(T$4&gt;=$D5,T$4&lt;=$E5),1,"")</x:f>
      </x:c>
      <x:c r="U5" t="str">
        <x:f>IF(AND(U$4&gt;=$D5,U$4&lt;=$E5),1,"")</x:f>
      </x:c>
      <x:c r="V5" t="str">
        <x:f>IF(AND(V$4&gt;=$D5,V$4&lt;=$E5),1,"")</x:f>
      </x:c>
      <x:c r="W5" t="str">
        <x:f>IF(AND(W$4&gt;=$D5,W$4&lt;=$E5),1,"")</x:f>
      </x:c>
    </x:row>
    <x:row r="6">
      <x:c r="A6" s="26" t="str">
        <x:v>2</x:v>
      </x:c>
      <x:c r="B6" s="26" t="str">
        <x:v>Sprint 1 planning &amp; short project schedule</x:v>
      </x:c>
      <x:c r="C6" s="26" t="str">
        <x:v>Caleb</x:v>
      </x:c>
      <x:c r="D6" s="27" t="n">
        <x:v>46274</x:v>
      </x:c>
      <x:c r="E6" s="27" t="n">
        <x:v>46275</x:v>
      </x:c>
      <x:c r="F6" s="26" t="n">
        <x:f>E6-D6+1</x:f>
        <x:v>2</x:v>
      </x:c>
      <x:c r="G6" s="26" t="str">
        <x:v>In Progress</x:v>
      </x:c>
      <x:c r="H6" s="26" t="str">
        <x:v>Sprint 1</x:v>
      </x:c>
      <x:c r="I6" t="n">
        <x:f>IF(AND(I$4&gt;=$D6,I$4&lt;=$E6),1,"")</x:f>
        <x:v>1</x:v>
      </x:c>
      <x:c r="J6" t="n">
        <x:f>IF(AND(J$4&gt;=$D6,J$4&lt;=$E6),1,"")</x:f>
        <x:v>1</x:v>
      </x:c>
      <x:c r="K6" t="str">
        <x:f>IF(AND(K$4&gt;=$D6,K$4&lt;=$E6),1,"")</x:f>
      </x:c>
      <x:c r="L6" t="str">
        <x:f>IF(AND(L$4&gt;=$D6,L$4&lt;=$E6),1,"")</x:f>
      </x:c>
      <x:c r="M6" t="str">
        <x:f>IF(AND(M$4&gt;=$D6,M$4&lt;=$E6),1,"")</x:f>
      </x:c>
      <x:c r="N6" t="str">
        <x:f>IF(AND(N$4&gt;=$D6,N$4&lt;=$E6),1,"")</x:f>
      </x:c>
      <x:c r="O6" t="str">
        <x:f>IF(AND(O$4&gt;=$D6,O$4&lt;=$E6),1,"")</x:f>
      </x:c>
      <x:c r="P6" t="str">
        <x:f>IF(AND(P$4&gt;=$D6,P$4&lt;=$E6),1,"")</x:f>
      </x:c>
      <x:c r="Q6" t="str">
        <x:f>IF(AND(Q$4&gt;=$D6,Q$4&lt;=$E6),1,"")</x:f>
      </x:c>
      <x:c r="R6" t="str">
        <x:f>IF(AND(R$4&gt;=$D6,R$4&lt;=$E6),1,"")</x:f>
      </x:c>
      <x:c r="S6" t="str">
        <x:f>IF(AND(S$4&gt;=$D6,S$4&lt;=$E6),1,"")</x:f>
      </x:c>
      <x:c r="T6" t="str">
        <x:f>IF(AND(T$4&gt;=$D6,T$4&lt;=$E6),1,"")</x:f>
      </x:c>
      <x:c r="U6" t="str">
        <x:f>IF(AND(U$4&gt;=$D6,U$4&lt;=$E6),1,"")</x:f>
      </x:c>
      <x:c r="V6" t="str">
        <x:f>IF(AND(V$4&gt;=$D6,V$4&lt;=$E6),1,"")</x:f>
      </x:c>
      <x:c r="W6" t="str">
        <x:f>IF(AND(W$4&gt;=$D6,W$4&lt;=$E6),1,"")</x:f>
      </x:c>
    </x:row>
    <x:row r="7">
      <x:c r="A7" s="26" t="str">
        <x:v>3</x:v>
      </x:c>
      <x:c r="B7" s="26" t="str">
        <x:v>Requirements Baseline v1</x:v>
      </x:c>
      <x:c r="C7" s="26" t="str">
        <x:v>Fardin</x:v>
      </x:c>
      <x:c r="D7" s="27" t="n">
        <x:v>46275</x:v>
      </x:c>
      <x:c r="E7" s="27" t="n">
        <x:v>46278</x:v>
      </x:c>
      <x:c r="F7" s="26" t="n">
        <x:f>E7-D7+1</x:f>
        <x:v>4</x:v>
      </x:c>
      <x:c r="G7" s="26" t="str">
        <x:v>Planned</x:v>
      </x:c>
      <x:c r="H7" s="26" t="str">
        <x:v>Sprint 1</x:v>
      </x:c>
      <x:c r="I7" t="str">
        <x:f>IF(AND(I$4&gt;=$D7,I$4&lt;=$E7),1,"")</x:f>
      </x:c>
      <x:c r="J7" t="n">
        <x:f>IF(AND(J$4&gt;=$D7,J$4&lt;=$E7),1,"")</x:f>
        <x:v>1</x:v>
      </x:c>
      <x:c r="K7" t="n">
        <x:f>IF(AND(K$4&gt;=$D7,K$4&lt;=$E7),1,"")</x:f>
        <x:v>1</x:v>
      </x:c>
      <x:c r="L7" t="n">
        <x:f>IF(AND(L$4&gt;=$D7,L$4&lt;=$E7),1,"")</x:f>
        <x:v>1</x:v>
      </x:c>
      <x:c r="M7" t="n">
        <x:f>IF(AND(M$4&gt;=$D7,M$4&lt;=$E7),1,"")</x:f>
        <x:v>1</x:v>
      </x:c>
      <x:c r="N7" t="str">
        <x:f>IF(AND(N$4&gt;=$D7,N$4&lt;=$E7),1,"")</x:f>
      </x:c>
      <x:c r="O7" t="str">
        <x:f>IF(AND(O$4&gt;=$D7,O$4&lt;=$E7),1,"")</x:f>
      </x:c>
      <x:c r="P7" t="str">
        <x:f>IF(AND(P$4&gt;=$D7,P$4&lt;=$E7),1,"")</x:f>
      </x:c>
      <x:c r="Q7" t="str">
        <x:f>IF(AND(Q$4&gt;=$D7,Q$4&lt;=$E7),1,"")</x:f>
      </x:c>
      <x:c r="R7" t="str">
        <x:f>IF(AND(R$4&gt;=$D7,R$4&lt;=$E7),1,"")</x:f>
      </x:c>
      <x:c r="S7" t="str">
        <x:f>IF(AND(S$4&gt;=$D7,S$4&lt;=$E7),1,"")</x:f>
      </x:c>
      <x:c r="T7" t="str">
        <x:f>IF(AND(T$4&gt;=$D7,T$4&lt;=$E7),1,"")</x:f>
      </x:c>
      <x:c r="U7" t="str">
        <x:f>IF(AND(U$4&gt;=$D7,U$4&lt;=$E7),1,"")</x:f>
      </x:c>
      <x:c r="V7" t="str">
        <x:f>IF(AND(V$4&gt;=$D7,V$4&lt;=$E7),1,"")</x:f>
      </x:c>
      <x:c r="W7" t="str">
        <x:f>IF(AND(W$4&gt;=$D7,W$4&lt;=$E7),1,"")</x:f>
      </x:c>
    </x:row>
    <x:row r="8">
      <x:c r="A8" s="26" t="str">
        <x:v>4</x:v>
      </x:c>
      <x:c r="B8" s="26" t="str">
        <x:v>User Stories &amp; MoSCoW prioritisation</x:v>
      </x:c>
      <x:c r="C8" s="26" t="str">
        <x:v>Fardin</x:v>
      </x:c>
      <x:c r="D8" s="27" t="n">
        <x:v>46276</x:v>
      </x:c>
      <x:c r="E8" s="27" t="n">
        <x:v>46279</x:v>
      </x:c>
      <x:c r="F8" s="26" t="n">
        <x:f>E8-D8+1</x:f>
        <x:v>4</x:v>
      </x:c>
      <x:c r="G8" s="26" t="str">
        <x:v>Planned</x:v>
      </x:c>
      <x:c r="H8" s="26" t="str">
        <x:v>Sprint 1</x:v>
      </x:c>
      <x:c r="I8" t="str">
        <x:f>IF(AND(I$4&gt;=$D8,I$4&lt;=$E8),1,"")</x:f>
      </x:c>
      <x:c r="J8" t="str">
        <x:f>IF(AND(J$4&gt;=$D8,J$4&lt;=$E8),1,"")</x:f>
      </x:c>
      <x:c r="K8" t="n">
        <x:f>IF(AND(K$4&gt;=$D8,K$4&lt;=$E8),1,"")</x:f>
        <x:v>1</x:v>
      </x:c>
      <x:c r="L8" t="n">
        <x:f>IF(AND(L$4&gt;=$D8,L$4&lt;=$E8),1,"")</x:f>
        <x:v>1</x:v>
      </x:c>
      <x:c r="M8" t="n">
        <x:f>IF(AND(M$4&gt;=$D8,M$4&lt;=$E8),1,"")</x:f>
        <x:v>1</x:v>
      </x:c>
      <x:c r="N8" t="n">
        <x:f>IF(AND(N$4&gt;=$D8,N$4&lt;=$E8),1,"")</x:f>
        <x:v>1</x:v>
      </x:c>
      <x:c r="O8" t="str">
        <x:f>IF(AND(O$4&gt;=$D8,O$4&lt;=$E8),1,"")</x:f>
      </x:c>
      <x:c r="P8" t="str">
        <x:f>IF(AND(P$4&gt;=$D8,P$4&lt;=$E8),1,"")</x:f>
      </x:c>
      <x:c r="Q8" t="str">
        <x:f>IF(AND(Q$4&gt;=$D8,Q$4&lt;=$E8),1,"")</x:f>
      </x:c>
      <x:c r="R8" t="str">
        <x:f>IF(AND(R$4&gt;=$D8,R$4&lt;=$E8),1,"")</x:f>
      </x:c>
      <x:c r="S8" t="str">
        <x:f>IF(AND(S$4&gt;=$D8,S$4&lt;=$E8),1,"")</x:f>
      </x:c>
      <x:c r="T8" t="str">
        <x:f>IF(AND(T$4&gt;=$D8,T$4&lt;=$E8),1,"")</x:f>
      </x:c>
      <x:c r="U8" t="str">
        <x:f>IF(AND(U$4&gt;=$D8,U$4&lt;=$E8),1,"")</x:f>
      </x:c>
      <x:c r="V8" t="str">
        <x:f>IF(AND(V$4&gt;=$D8,V$4&lt;=$E8),1,"")</x:f>
      </x:c>
      <x:c r="W8" t="str">
        <x:f>IF(AND(W$4&gt;=$D8,W$4&lt;=$E8),1,"")</x:f>
      </x:c>
    </x:row>
    <x:row r="9">
      <x:c r="A9" s="26" t="str">
        <x:v>5</x:v>
      </x:c>
      <x:c r="B9" s="26" t="str">
        <x:v>Risk Register v1</x:v>
      </x:c>
      <x:c r="C9" s="26" t="str">
        <x:v>Eray</x:v>
      </x:c>
      <x:c r="D9" s="27" t="n">
        <x:v>46275</x:v>
      </x:c>
      <x:c r="E9" s="27" t="n">
        <x:v>46278</x:v>
      </x:c>
      <x:c r="F9" s="26" t="n">
        <x:f>E9-D9+1</x:f>
        <x:v>4</x:v>
      </x:c>
      <x:c r="G9" s="26" t="str">
        <x:v>Planned</x:v>
      </x:c>
      <x:c r="H9" s="26" t="str">
        <x:v>Sprint 1</x:v>
      </x:c>
      <x:c r="I9" t="str">
        <x:f>IF(AND(I$4&gt;=$D9,I$4&lt;=$E9),1,"")</x:f>
      </x:c>
      <x:c r="J9" t="n">
        <x:f>IF(AND(J$4&gt;=$D9,J$4&lt;=$E9),1,"")</x:f>
        <x:v>1</x:v>
      </x:c>
      <x:c r="K9" t="n">
        <x:f>IF(AND(K$4&gt;=$D9,K$4&lt;=$E9),1,"")</x:f>
        <x:v>1</x:v>
      </x:c>
      <x:c r="L9" t="n">
        <x:f>IF(AND(L$4&gt;=$D9,L$4&lt;=$E9),1,"")</x:f>
        <x:v>1</x:v>
      </x:c>
      <x:c r="M9" t="n">
        <x:f>IF(AND(M$4&gt;=$D9,M$4&lt;=$E9),1,"")</x:f>
        <x:v>1</x:v>
      </x:c>
      <x:c r="N9" t="str">
        <x:f>IF(AND(N$4&gt;=$D9,N$4&lt;=$E9),1,"")</x:f>
      </x:c>
      <x:c r="O9" t="str">
        <x:f>IF(AND(O$4&gt;=$D9,O$4&lt;=$E9),1,"")</x:f>
      </x:c>
      <x:c r="P9" t="str">
        <x:f>IF(AND(P$4&gt;=$D9,P$4&lt;=$E9),1,"")</x:f>
      </x:c>
      <x:c r="Q9" t="str">
        <x:f>IF(AND(Q$4&gt;=$D9,Q$4&lt;=$E9),1,"")</x:f>
      </x:c>
      <x:c r="R9" t="str">
        <x:f>IF(AND(R$4&gt;=$D9,R$4&lt;=$E9),1,"")</x:f>
      </x:c>
      <x:c r="S9" t="str">
        <x:f>IF(AND(S$4&gt;=$D9,S$4&lt;=$E9),1,"")</x:f>
      </x:c>
      <x:c r="T9" t="str">
        <x:f>IF(AND(T$4&gt;=$D9,T$4&lt;=$E9),1,"")</x:f>
      </x:c>
      <x:c r="U9" t="str">
        <x:f>IF(AND(U$4&gt;=$D9,U$4&lt;=$E9),1,"")</x:f>
      </x:c>
      <x:c r="V9" t="str">
        <x:f>IF(AND(V$4&gt;=$D9,V$4&lt;=$E9),1,"")</x:f>
      </x:c>
      <x:c r="W9" t="str">
        <x:f>IF(AND(W$4&gt;=$D9,W$4&lt;=$E9),1,"")</x:f>
      </x:c>
    </x:row>
    <x:row r="10">
      <x:c r="A10" s="26" t="str">
        <x:v>6</x:v>
      </x:c>
      <x:c r="B10" s="26" t="str">
        <x:v>Test Plan v1</x:v>
      </x:c>
      <x:c r="C10" s="26" t="str">
        <x:v>Eray</x:v>
      </x:c>
      <x:c r="D10" s="27" t="n">
        <x:v>46276</x:v>
      </x:c>
      <x:c r="E10" s="27" t="n">
        <x:v>46280</x:v>
      </x:c>
      <x:c r="F10" s="26" t="n">
        <x:f>E10-D10+1</x:f>
        <x:v>5</x:v>
      </x:c>
      <x:c r="G10" s="26" t="str">
        <x:v>Planned</x:v>
      </x:c>
      <x:c r="H10" s="26" t="str">
        <x:v>Sprint 1</x:v>
      </x:c>
      <x:c r="I10" t="str">
        <x:f>IF(AND(I$4&gt;=$D10,I$4&lt;=$E10),1,"")</x:f>
      </x:c>
      <x:c r="J10" t="str">
        <x:f>IF(AND(J$4&gt;=$D10,J$4&lt;=$E10),1,"")</x:f>
      </x:c>
      <x:c r="K10" t="n">
        <x:f>IF(AND(K$4&gt;=$D10,K$4&lt;=$E10),1,"")</x:f>
        <x:v>1</x:v>
      </x:c>
      <x:c r="L10" t="n">
        <x:f>IF(AND(L$4&gt;=$D10,L$4&lt;=$E10),1,"")</x:f>
        <x:v>1</x:v>
      </x:c>
      <x:c r="M10" t="n">
        <x:f>IF(AND(M$4&gt;=$D10,M$4&lt;=$E10),1,"")</x:f>
        <x:v>1</x:v>
      </x:c>
      <x:c r="N10" t="n">
        <x:f>IF(AND(N$4&gt;=$D10,N$4&lt;=$E10),1,"")</x:f>
        <x:v>1</x:v>
      </x:c>
      <x:c r="O10" t="n">
        <x:f>IF(AND(O$4&gt;=$D10,O$4&lt;=$E10),1,"")</x:f>
        <x:v>1</x:v>
      </x:c>
      <x:c r="P10" t="str">
        <x:f>IF(AND(P$4&gt;=$D10,P$4&lt;=$E10),1,"")</x:f>
      </x:c>
      <x:c r="Q10" t="str">
        <x:f>IF(AND(Q$4&gt;=$D10,Q$4&lt;=$E10),1,"")</x:f>
      </x:c>
      <x:c r="R10" t="str">
        <x:f>IF(AND(R$4&gt;=$D10,R$4&lt;=$E10),1,"")</x:f>
      </x:c>
      <x:c r="S10" t="str">
        <x:f>IF(AND(S$4&gt;=$D10,S$4&lt;=$E10),1,"")</x:f>
      </x:c>
      <x:c r="T10" t="str">
        <x:f>IF(AND(T$4&gt;=$D10,T$4&lt;=$E10),1,"")</x:f>
      </x:c>
      <x:c r="U10" t="str">
        <x:f>IF(AND(U$4&gt;=$D10,U$4&lt;=$E10),1,"")</x:f>
      </x:c>
      <x:c r="V10" t="str">
        <x:f>IF(AND(V$4&gt;=$D10,V$4&lt;=$E10),1,"")</x:f>
      </x:c>
      <x:c r="W10" t="str">
        <x:f>IF(AND(W$4&gt;=$D10,W$4&lt;=$E10),1,"")</x:f>
      </x:c>
    </x:row>
    <x:row r="11">
      <x:c r="A11" s="26" t="str">
        <x:v>7</x:v>
      </x:c>
      <x:c r="B11" s="26" t="str">
        <x:v>Initial UI/UX wireframes</x:v>
      </x:c>
      <x:c r="C11" s="26" t="str">
        <x:v>Diana</x:v>
      </x:c>
      <x:c r="D11" s="27" t="n">
        <x:v>46275</x:v>
      </x:c>
      <x:c r="E11" s="27" t="n">
        <x:v>46279</x:v>
      </x:c>
      <x:c r="F11" s="26" t="n">
        <x:f>E11-D11+1</x:f>
        <x:v>5</x:v>
      </x:c>
      <x:c r="G11" s="26" t="str">
        <x:v>Planned</x:v>
      </x:c>
      <x:c r="H11" s="26" t="str">
        <x:v>Sprint 1</x:v>
      </x:c>
      <x:c r="I11" t="str">
        <x:f>IF(AND(I$4&gt;=$D11,I$4&lt;=$E11),1,"")</x:f>
      </x:c>
      <x:c r="J11" t="n">
        <x:f>IF(AND(J$4&gt;=$D11,J$4&lt;=$E11),1,"")</x:f>
        <x:v>1</x:v>
      </x:c>
      <x:c r="K11" t="n">
        <x:f>IF(AND(K$4&gt;=$D11,K$4&lt;=$E11),1,"")</x:f>
        <x:v>1</x:v>
      </x:c>
      <x:c r="L11" t="n">
        <x:f>IF(AND(L$4&gt;=$D11,L$4&lt;=$E11),1,"")</x:f>
        <x:v>1</x:v>
      </x:c>
      <x:c r="M11" t="n">
        <x:f>IF(AND(M$4&gt;=$D11,M$4&lt;=$E11),1,"")</x:f>
        <x:v>1</x:v>
      </x:c>
      <x:c r="N11" t="n">
        <x:f>IF(AND(N$4&gt;=$D11,N$4&lt;=$E11),1,"")</x:f>
        <x:v>1</x:v>
      </x:c>
      <x:c r="O11" t="str">
        <x:f>IF(AND(O$4&gt;=$D11,O$4&lt;=$E11),1,"")</x:f>
      </x:c>
      <x:c r="P11" t="str">
        <x:f>IF(AND(P$4&gt;=$D11,P$4&lt;=$E11),1,"")</x:f>
      </x:c>
      <x:c r="Q11" t="str">
        <x:f>IF(AND(Q$4&gt;=$D11,Q$4&lt;=$E11),1,"")</x:f>
      </x:c>
      <x:c r="R11" t="str">
        <x:f>IF(AND(R$4&gt;=$D11,R$4&lt;=$E11),1,"")</x:f>
      </x:c>
      <x:c r="S11" t="str">
        <x:f>IF(AND(S$4&gt;=$D11,S$4&lt;=$E11),1,"")</x:f>
      </x:c>
      <x:c r="T11" t="str">
        <x:f>IF(AND(T$4&gt;=$D11,T$4&lt;=$E11),1,"")</x:f>
      </x:c>
      <x:c r="U11" t="str">
        <x:f>IF(AND(U$4&gt;=$D11,U$4&lt;=$E11),1,"")</x:f>
      </x:c>
      <x:c r="V11" t="str">
        <x:f>IF(AND(V$4&gt;=$D11,V$4&lt;=$E11),1,"")</x:f>
      </x:c>
      <x:c r="W11" t="str">
        <x:f>IF(AND(W$4&gt;=$D11,W$4&lt;=$E11),1,"")</x:f>
      </x:c>
    </x:row>
    <x:row r="12">
      <x:c r="A12" s="26" t="str">
        <x:v>8</x:v>
      </x:c>
      <x:c r="B12" s="26" t="str">
        <x:v>Technical architecture &amp; proof of concept</x:v>
      </x:c>
      <x:c r="C12" s="26" t="str">
        <x:v>Aaron</x:v>
      </x:c>
      <x:c r="D12" s="27" t="n">
        <x:v>46275</x:v>
      </x:c>
      <x:c r="E12" s="27" t="n">
        <x:v>46280</x:v>
      </x:c>
      <x:c r="F12" s="26" t="n">
        <x:f>E12-D12+1</x:f>
        <x:v>6</x:v>
      </x:c>
      <x:c r="G12" s="26" t="str">
        <x:v>Planned</x:v>
      </x:c>
      <x:c r="H12" s="26" t="str">
        <x:v>Sprint 1</x:v>
      </x:c>
      <x:c r="I12" t="str">
        <x:f>IF(AND(I$4&gt;=$D12,I$4&lt;=$E12),1,"")</x:f>
      </x:c>
      <x:c r="J12" t="n">
        <x:f>IF(AND(J$4&gt;=$D12,J$4&lt;=$E12),1,"")</x:f>
        <x:v>1</x:v>
      </x:c>
      <x:c r="K12" t="n">
        <x:f>IF(AND(K$4&gt;=$D12,K$4&lt;=$E12),1,"")</x:f>
        <x:v>1</x:v>
      </x:c>
      <x:c r="L12" t="n">
        <x:f>IF(AND(L$4&gt;=$D12,L$4&lt;=$E12),1,"")</x:f>
        <x:v>1</x:v>
      </x:c>
      <x:c r="M12" t="n">
        <x:f>IF(AND(M$4&gt;=$D12,M$4&lt;=$E12),1,"")</x:f>
        <x:v>1</x:v>
      </x:c>
      <x:c r="N12" t="n">
        <x:f>IF(AND(N$4&gt;=$D12,N$4&lt;=$E12),1,"")</x:f>
        <x:v>1</x:v>
      </x:c>
      <x:c r="O12" t="n">
        <x:f>IF(AND(O$4&gt;=$D12,O$4&lt;=$E12),1,"")</x:f>
        <x:v>1</x:v>
      </x:c>
      <x:c r="P12" t="str">
        <x:f>IF(AND(P$4&gt;=$D12,P$4&lt;=$E12),1,"")</x:f>
      </x:c>
      <x:c r="Q12" t="str">
        <x:f>IF(AND(Q$4&gt;=$D12,Q$4&lt;=$E12),1,"")</x:f>
      </x:c>
      <x:c r="R12" t="str">
        <x:f>IF(AND(R$4&gt;=$D12,R$4&lt;=$E12),1,"")</x:f>
      </x:c>
      <x:c r="S12" t="str">
        <x:f>IF(AND(S$4&gt;=$D12,S$4&lt;=$E12),1,"")</x:f>
      </x:c>
      <x:c r="T12" t="str">
        <x:f>IF(AND(T$4&gt;=$D12,T$4&lt;=$E12),1,"")</x:f>
      </x:c>
      <x:c r="U12" t="str">
        <x:f>IF(AND(U$4&gt;=$D12,U$4&lt;=$E12),1,"")</x:f>
      </x:c>
      <x:c r="V12" t="str">
        <x:f>IF(AND(V$4&gt;=$D12,V$4&lt;=$E12),1,"")</x:f>
      </x:c>
      <x:c r="W12" t="str">
        <x:f>IF(AND(W$4&gt;=$D12,W$4&lt;=$E12),1,"")</x:f>
      </x:c>
    </x:row>
    <x:row r="13">
      <x:c r="A13" s="26" t="str">
        <x:v>9</x:v>
      </x:c>
      <x:c r="B13" s="26" t="str">
        <x:v>Sprint 1 review &amp; baseline approval</x:v>
      </x:c>
      <x:c r="C13" s="26" t="str">
        <x:v>Team 4 / Caleb</x:v>
      </x:c>
      <x:c r="D13" s="27" t="n">
        <x:v>46281</x:v>
      </x:c>
      <x:c r="E13" s="27" t="n">
        <x:v>46281</x:v>
      </x:c>
      <x:c r="F13" s="26" t="n">
        <x:f>E13-D13+1</x:f>
        <x:v>1</x:v>
      </x:c>
      <x:c r="G13" s="26" t="str">
        <x:v>Planned</x:v>
      </x:c>
      <x:c r="H13" s="26" t="str">
        <x:v>Milestone 1</x:v>
      </x:c>
      <x:c r="I13" t="str">
        <x:f>IF(AND(I$4&gt;=$D13,I$4&lt;=$E13),1,"")</x:f>
      </x:c>
      <x:c r="J13" t="str">
        <x:f>IF(AND(J$4&gt;=$D13,J$4&lt;=$E13),1,"")</x:f>
      </x:c>
      <x:c r="K13" t="str">
        <x:f>IF(AND(K$4&gt;=$D13,K$4&lt;=$E13),1,"")</x:f>
      </x:c>
      <x:c r="L13" t="str">
        <x:f>IF(AND(L$4&gt;=$D13,L$4&lt;=$E13),1,"")</x:f>
      </x:c>
      <x:c r="M13" t="str">
        <x:f>IF(AND(M$4&gt;=$D13,M$4&lt;=$E13),1,"")</x:f>
      </x:c>
      <x:c r="N13" t="str">
        <x:f>IF(AND(N$4&gt;=$D13,N$4&lt;=$E13),1,"")</x:f>
      </x:c>
      <x:c r="O13" t="str">
        <x:f>IF(AND(O$4&gt;=$D13,O$4&lt;=$E13),1,"")</x:f>
      </x:c>
      <x:c r="P13" t="n">
        <x:f>IF(AND(P$4&gt;=$D13,P$4&lt;=$E13),1,"")</x:f>
        <x:v>1</x:v>
      </x:c>
      <x:c r="Q13" t="str">
        <x:f>IF(AND(Q$4&gt;=$D13,Q$4&lt;=$E13),1,"")</x:f>
      </x:c>
      <x:c r="R13" t="str">
        <x:f>IF(AND(R$4&gt;=$D13,R$4&lt;=$E13),1,"")</x:f>
      </x:c>
      <x:c r="S13" t="str">
        <x:f>IF(AND(S$4&gt;=$D13,S$4&lt;=$E13),1,"")</x:f>
      </x:c>
      <x:c r="T13" t="str">
        <x:f>IF(AND(T$4&gt;=$D13,T$4&lt;=$E13),1,"")</x:f>
      </x:c>
      <x:c r="U13" t="str">
        <x:f>IF(AND(U$4&gt;=$D13,U$4&lt;=$E13),1,"")</x:f>
      </x:c>
      <x:c r="V13" t="str">
        <x:f>IF(AND(V$4&gt;=$D13,V$4&lt;=$E13),1,"")</x:f>
      </x:c>
      <x:c r="W13" t="str">
        <x:f>IF(AND(W$4&gt;=$D13,W$4&lt;=$E13),1,"")</x:f>
      </x:c>
    </x:row>
    <x:row r="14">
      <x:c r="A14" s="26" t="str">
        <x:v>10</x:v>
      </x:c>
      <x:c r="B14" s="26" t="str">
        <x:v>Core desktop app integration</x:v>
      </x:c>
      <x:c r="C14" s="26" t="str">
        <x:v>Aaron + Team</x:v>
      </x:c>
      <x:c r="D14" s="27" t="n">
        <x:v>46281</x:v>
      </x:c>
      <x:c r="E14" s="27" t="n">
        <x:v>46285</x:v>
      </x:c>
      <x:c r="F14" s="26" t="n">
        <x:f>E14-D14+1</x:f>
        <x:v>5</x:v>
      </x:c>
      <x:c r="G14" s="26" t="str">
        <x:v>Planned</x:v>
      </x:c>
      <x:c r="H14" s="26" t="str">
        <x:v>Sprint 2</x:v>
      </x:c>
      <x:c r="I14" t="str">
        <x:f>IF(AND(I$4&gt;=$D14,I$4&lt;=$E14),1,"")</x:f>
      </x:c>
      <x:c r="J14" t="str">
        <x:f>IF(AND(J$4&gt;=$D14,J$4&lt;=$E14),1,"")</x:f>
      </x:c>
      <x:c r="K14" t="str">
        <x:f>IF(AND(K$4&gt;=$D14,K$4&lt;=$E14),1,"")</x:f>
      </x:c>
      <x:c r="L14" t="str">
        <x:f>IF(AND(L$4&gt;=$D14,L$4&lt;=$E14),1,"")</x:f>
      </x:c>
      <x:c r="M14" t="str">
        <x:f>IF(AND(M$4&gt;=$D14,M$4&lt;=$E14),1,"")</x:f>
      </x:c>
      <x:c r="N14" t="str">
        <x:f>IF(AND(N$4&gt;=$D14,N$4&lt;=$E14),1,"")</x:f>
      </x:c>
      <x:c r="O14" t="str">
        <x:f>IF(AND(O$4&gt;=$D14,O$4&lt;=$E14),1,"")</x:f>
      </x:c>
      <x:c r="P14" t="n">
        <x:f>IF(AND(P$4&gt;=$D14,P$4&lt;=$E14),1,"")</x:f>
        <x:v>1</x:v>
      </x:c>
      <x:c r="Q14" t="n">
        <x:f>IF(AND(Q$4&gt;=$D14,Q$4&lt;=$E14),1,"")</x:f>
        <x:v>1</x:v>
      </x:c>
      <x:c r="R14" t="n">
        <x:f>IF(AND(R$4&gt;=$D14,R$4&lt;=$E14),1,"")</x:f>
        <x:v>1</x:v>
      </x:c>
      <x:c r="S14" t="n">
        <x:f>IF(AND(S$4&gt;=$D14,S$4&lt;=$E14),1,"")</x:f>
        <x:v>1</x:v>
      </x:c>
      <x:c r="T14" t="n">
        <x:f>IF(AND(T$4&gt;=$D14,T$4&lt;=$E14),1,"")</x:f>
        <x:v>1</x:v>
      </x:c>
      <x:c r="U14" t="str">
        <x:f>IF(AND(U$4&gt;=$D14,U$4&lt;=$E14),1,"")</x:f>
      </x:c>
      <x:c r="V14" t="str">
        <x:f>IF(AND(V$4&gt;=$D14,V$4&lt;=$E14),1,"")</x:f>
      </x:c>
      <x:c r="W14" t="str">
        <x:f>IF(AND(W$4&gt;=$D14,W$4&lt;=$E14),1,"")</x:f>
      </x:c>
    </x:row>
    <x:row r="15">
      <x:c r="A15" s="26" t="str">
        <x:v>11</x:v>
      </x:c>
      <x:c r="B15" s="26" t="str">
        <x:v>Authentication / login / logout workflow</x:v>
      </x:c>
      <x:c r="C15" s="26" t="str">
        <x:v>Aaron + Team</x:v>
      </x:c>
      <x:c r="D15" s="27" t="n">
        <x:v>46281</x:v>
      </x:c>
      <x:c r="E15" s="27" t="n">
        <x:v>46285</x:v>
      </x:c>
      <x:c r="F15" s="26" t="n">
        <x:f>E15-D15+1</x:f>
        <x:v>5</x:v>
      </x:c>
      <x:c r="G15" s="26" t="str">
        <x:v>Planned</x:v>
      </x:c>
      <x:c r="H15" s="26" t="str">
        <x:v>Sprint 2</x:v>
      </x:c>
      <x:c r="I15" t="str">
        <x:f>IF(AND(I$4&gt;=$D15,I$4&lt;=$E15),1,"")</x:f>
      </x:c>
      <x:c r="J15" t="str">
        <x:f>IF(AND(J$4&gt;=$D15,J$4&lt;=$E15),1,"")</x:f>
      </x:c>
      <x:c r="K15" t="str">
        <x:f>IF(AND(K$4&gt;=$D15,K$4&lt;=$E15),1,"")</x:f>
      </x:c>
      <x:c r="L15" t="str">
        <x:f>IF(AND(L$4&gt;=$D15,L$4&lt;=$E15),1,"")</x:f>
      </x:c>
      <x:c r="M15" t="str">
        <x:f>IF(AND(M$4&gt;=$D15,M$4&lt;=$E15),1,"")</x:f>
      </x:c>
      <x:c r="N15" t="str">
        <x:f>IF(AND(N$4&gt;=$D15,N$4&lt;=$E15),1,"")</x:f>
      </x:c>
      <x:c r="O15" t="str">
        <x:f>IF(AND(O$4&gt;=$D15,O$4&lt;=$E15),1,"")</x:f>
      </x:c>
      <x:c r="P15" t="n">
        <x:f>IF(AND(P$4&gt;=$D15,P$4&lt;=$E15),1,"")</x:f>
        <x:v>1</x:v>
      </x:c>
      <x:c r="Q15" t="n">
        <x:f>IF(AND(Q$4&gt;=$D15,Q$4&lt;=$E15),1,"")</x:f>
        <x:v>1</x:v>
      </x:c>
      <x:c r="R15" t="n">
        <x:f>IF(AND(R$4&gt;=$D15,R$4&lt;=$E15),1,"")</x:f>
        <x:v>1</x:v>
      </x:c>
      <x:c r="S15" t="n">
        <x:f>IF(AND(S$4&gt;=$D15,S$4&lt;=$E15),1,"")</x:f>
        <x:v>1</x:v>
      </x:c>
      <x:c r="T15" t="n">
        <x:f>IF(AND(T$4&gt;=$D15,T$4&lt;=$E15),1,"")</x:f>
        <x:v>1</x:v>
      </x:c>
      <x:c r="U15" t="str">
        <x:f>IF(AND(U$4&gt;=$D15,U$4&lt;=$E15),1,"")</x:f>
      </x:c>
      <x:c r="V15" t="str">
        <x:f>IF(AND(V$4&gt;=$D15,V$4&lt;=$E15),1,"")</x:f>
      </x:c>
      <x:c r="W15" t="str">
        <x:f>IF(AND(W$4&gt;=$D15,W$4&lt;=$E15),1,"")</x:f>
      </x:c>
    </x:row>
    <x:row r="16">
      <x:c r="A16" s="26" t="str">
        <x:v>12</x:v>
      </x:c>
      <x:c r="B16" s="26" t="str">
        <x:v>Credential CRUD workflow</x:v>
      </x:c>
      <x:c r="C16" s="26" t="str">
        <x:v>Aaron + Team</x:v>
      </x:c>
      <x:c r="D16" s="27" t="n">
        <x:v>46282</x:v>
      </x:c>
      <x:c r="E16" s="27" t="n">
        <x:v>46286</x:v>
      </x:c>
      <x:c r="F16" s="26" t="n">
        <x:f>E16-D16+1</x:f>
        <x:v>5</x:v>
      </x:c>
      <x:c r="G16" s="26" t="str">
        <x:v>Planned</x:v>
      </x:c>
      <x:c r="H16" s="26" t="str">
        <x:v>Sprint 2</x:v>
      </x:c>
      <x:c r="I16" t="str">
        <x:f>IF(AND(I$4&gt;=$D16,I$4&lt;=$E16),1,"")</x:f>
      </x:c>
      <x:c r="J16" t="str">
        <x:f>IF(AND(J$4&gt;=$D16,J$4&lt;=$E16),1,"")</x:f>
      </x:c>
      <x:c r="K16" t="str">
        <x:f>IF(AND(K$4&gt;=$D16,K$4&lt;=$E16),1,"")</x:f>
      </x:c>
      <x:c r="L16" t="str">
        <x:f>IF(AND(L$4&gt;=$D16,L$4&lt;=$E16),1,"")</x:f>
      </x:c>
      <x:c r="M16" t="str">
        <x:f>IF(AND(M$4&gt;=$D16,M$4&lt;=$E16),1,"")</x:f>
      </x:c>
      <x:c r="N16" t="str">
        <x:f>IF(AND(N$4&gt;=$D16,N$4&lt;=$E16),1,"")</x:f>
      </x:c>
      <x:c r="O16" t="str">
        <x:f>IF(AND(O$4&gt;=$D16,O$4&lt;=$E16),1,"")</x:f>
      </x:c>
      <x:c r="P16" t="str">
        <x:f>IF(AND(P$4&gt;=$D16,P$4&lt;=$E16),1,"")</x:f>
      </x:c>
      <x:c r="Q16" t="n">
        <x:f>IF(AND(Q$4&gt;=$D16,Q$4&lt;=$E16),1,"")</x:f>
        <x:v>1</x:v>
      </x:c>
      <x:c r="R16" t="n">
        <x:f>IF(AND(R$4&gt;=$D16,R$4&lt;=$E16),1,"")</x:f>
        <x:v>1</x:v>
      </x:c>
      <x:c r="S16" t="n">
        <x:f>IF(AND(S$4&gt;=$D16,S$4&lt;=$E16),1,"")</x:f>
        <x:v>1</x:v>
      </x:c>
      <x:c r="T16" t="n">
        <x:f>IF(AND(T$4&gt;=$D16,T$4&lt;=$E16),1,"")</x:f>
        <x:v>1</x:v>
      </x:c>
      <x:c r="U16" t="n">
        <x:f>IF(AND(U$4&gt;=$D16,U$4&lt;=$E16),1,"")</x:f>
        <x:v>1</x:v>
      </x:c>
      <x:c r="V16" t="str">
        <x:f>IF(AND(V$4&gt;=$D16,V$4&lt;=$E16),1,"")</x:f>
      </x:c>
      <x:c r="W16" t="str">
        <x:f>IF(AND(W$4&gt;=$D16,W$4&lt;=$E16),1,"")</x:f>
      </x:c>
    </x:row>
    <x:row r="17">
      <x:c r="A17" s="26" t="str">
        <x:v>13</x:v>
      </x:c>
      <x:c r="B17" s="26" t="str">
        <x:v>UI implementation &amp; accessibility review</x:v>
      </x:c>
      <x:c r="C17" s="26" t="str">
        <x:v>Diana + Team</x:v>
      </x:c>
      <x:c r="D17" s="27" t="n">
        <x:v>46281</x:v>
      </x:c>
      <x:c r="E17" s="27" t="n">
        <x:v>46286</x:v>
      </x:c>
      <x:c r="F17" s="26" t="n">
        <x:f>E17-D17+1</x:f>
        <x:v>6</x:v>
      </x:c>
      <x:c r="G17" s="26" t="str">
        <x:v>Planned</x:v>
      </x:c>
      <x:c r="H17" s="26" t="str">
        <x:v>Sprint 2</x:v>
      </x:c>
      <x:c r="I17" t="str">
        <x:f>IF(AND(I$4&gt;=$D17,I$4&lt;=$E17),1,"")</x:f>
      </x:c>
      <x:c r="J17" t="str">
        <x:f>IF(AND(J$4&gt;=$D17,J$4&lt;=$E17),1,"")</x:f>
      </x:c>
      <x:c r="K17" t="str">
        <x:f>IF(AND(K$4&gt;=$D17,K$4&lt;=$E17),1,"")</x:f>
      </x:c>
      <x:c r="L17" t="str">
        <x:f>IF(AND(L$4&gt;=$D17,L$4&lt;=$E17),1,"")</x:f>
      </x:c>
      <x:c r="M17" t="str">
        <x:f>IF(AND(M$4&gt;=$D17,M$4&lt;=$E17),1,"")</x:f>
      </x:c>
      <x:c r="N17" t="str">
        <x:f>IF(AND(N$4&gt;=$D17,N$4&lt;=$E17),1,"")</x:f>
      </x:c>
      <x:c r="O17" t="str">
        <x:f>IF(AND(O$4&gt;=$D17,O$4&lt;=$E17),1,"")</x:f>
      </x:c>
      <x:c r="P17" t="n">
        <x:f>IF(AND(P$4&gt;=$D17,P$4&lt;=$E17),1,"")</x:f>
        <x:v>1</x:v>
      </x:c>
      <x:c r="Q17" t="n">
        <x:f>IF(AND(Q$4&gt;=$D17,Q$4&lt;=$E17),1,"")</x:f>
        <x:v>1</x:v>
      </x:c>
      <x:c r="R17" t="n">
        <x:f>IF(AND(R$4&gt;=$D17,R$4&lt;=$E17),1,"")</x:f>
        <x:v>1</x:v>
      </x:c>
      <x:c r="S17" t="n">
        <x:f>IF(AND(S$4&gt;=$D17,S$4&lt;=$E17),1,"")</x:f>
        <x:v>1</x:v>
      </x:c>
      <x:c r="T17" t="n">
        <x:f>IF(AND(T$4&gt;=$D17,T$4&lt;=$E17),1,"")</x:f>
        <x:v>1</x:v>
      </x:c>
      <x:c r="U17" t="n">
        <x:f>IF(AND(U$4&gt;=$D17,U$4&lt;=$E17),1,"")</x:f>
        <x:v>1</x:v>
      </x:c>
      <x:c r="V17" t="str">
        <x:f>IF(AND(V$4&gt;=$D17,V$4&lt;=$E17),1,"")</x:f>
      </x:c>
      <x:c r="W17" t="str">
        <x:f>IF(AND(W$4&gt;=$D17,W$4&lt;=$E17),1,"")</x:f>
      </x:c>
    </x:row>
    <x:row r="18">
      <x:c r="A18" s="26" t="str">
        <x:v>14</x:v>
      </x:c>
      <x:c r="B18" s="26" t="str">
        <x:v>Security/storage integration review</x:v>
      </x:c>
      <x:c r="C18" s="26" t="str">
        <x:v>Aaron + Eray</x:v>
      </x:c>
      <x:c r="D18" s="27" t="n">
        <x:v>46283</x:v>
      </x:c>
      <x:c r="E18" s="27" t="n">
        <x:v>46286</x:v>
      </x:c>
      <x:c r="F18" s="26" t="n">
        <x:f>E18-D18+1</x:f>
        <x:v>4</x:v>
      </x:c>
      <x:c r="G18" s="26" t="str">
        <x:v>Planned</x:v>
      </x:c>
      <x:c r="H18" s="26" t="str">
        <x:v>Sprint 2</x:v>
      </x:c>
      <x:c r="I18" t="str">
        <x:f>IF(AND(I$4&gt;=$D18,I$4&lt;=$E18),1,"")</x:f>
      </x:c>
      <x:c r="J18" t="str">
        <x:f>IF(AND(J$4&gt;=$D18,J$4&lt;=$E18),1,"")</x:f>
      </x:c>
      <x:c r="K18" t="str">
        <x:f>IF(AND(K$4&gt;=$D18,K$4&lt;=$E18),1,"")</x:f>
      </x:c>
      <x:c r="L18" t="str">
        <x:f>IF(AND(L$4&gt;=$D18,L$4&lt;=$E18),1,"")</x:f>
      </x:c>
      <x:c r="M18" t="str">
        <x:f>IF(AND(M$4&gt;=$D18,M$4&lt;=$E18),1,"")</x:f>
      </x:c>
      <x:c r="N18" t="str">
        <x:f>IF(AND(N$4&gt;=$D18,N$4&lt;=$E18),1,"")</x:f>
      </x:c>
      <x:c r="O18" t="str">
        <x:f>IF(AND(O$4&gt;=$D18,O$4&lt;=$E18),1,"")</x:f>
      </x:c>
      <x:c r="P18" t="str">
        <x:f>IF(AND(P$4&gt;=$D18,P$4&lt;=$E18),1,"")</x:f>
      </x:c>
      <x:c r="Q18" t="str">
        <x:f>IF(AND(Q$4&gt;=$D18,Q$4&lt;=$E18),1,"")</x:f>
      </x:c>
      <x:c r="R18" t="n">
        <x:f>IF(AND(R$4&gt;=$D18,R$4&lt;=$E18),1,"")</x:f>
        <x:v>1</x:v>
      </x:c>
      <x:c r="S18" t="n">
        <x:f>IF(AND(S$4&gt;=$D18,S$4&lt;=$E18),1,"")</x:f>
        <x:v>1</x:v>
      </x:c>
      <x:c r="T18" t="n">
        <x:f>IF(AND(T$4&gt;=$D18,T$4&lt;=$E18),1,"")</x:f>
        <x:v>1</x:v>
      </x:c>
      <x:c r="U18" t="n">
        <x:f>IF(AND(U$4&gt;=$D18,U$4&lt;=$E18),1,"")</x:f>
        <x:v>1</x:v>
      </x:c>
      <x:c r="V18" t="str">
        <x:f>IF(AND(V$4&gt;=$D18,V$4&lt;=$E18),1,"")</x:f>
      </x:c>
      <x:c r="W18" t="str">
        <x:f>IF(AND(W$4&gt;=$D18,W$4&lt;=$E18),1,"")</x:f>
      </x:c>
    </x:row>
    <x:row r="19">
      <x:c r="A19" s="26" t="str">
        <x:v>15</x:v>
      </x:c>
      <x:c r="B19" s="26" t="str">
        <x:v>Execute functional/negative/integration tests</x:v>
      </x:c>
      <x:c r="C19" s="26" t="str">
        <x:v>Eray + Team</x:v>
      </x:c>
      <x:c r="D19" s="27" t="n">
        <x:v>46284</x:v>
      </x:c>
      <x:c r="E19" s="27" t="n">
        <x:v>46287</x:v>
      </x:c>
      <x:c r="F19" s="26" t="n">
        <x:f>E19-D19+1</x:f>
        <x:v>4</x:v>
      </x:c>
      <x:c r="G19" s="26" t="str">
        <x:v>Planned</x:v>
      </x:c>
      <x:c r="H19" s="26" t="str">
        <x:v>Sprint 2</x:v>
      </x:c>
      <x:c r="I19" t="str">
        <x:f>IF(AND(I$4&gt;=$D19,I$4&lt;=$E19),1,"")</x:f>
      </x:c>
      <x:c r="J19" t="str">
        <x:f>IF(AND(J$4&gt;=$D19,J$4&lt;=$E19),1,"")</x:f>
      </x:c>
      <x:c r="K19" t="str">
        <x:f>IF(AND(K$4&gt;=$D19,K$4&lt;=$E19),1,"")</x:f>
      </x:c>
      <x:c r="L19" t="str">
        <x:f>IF(AND(L$4&gt;=$D19,L$4&lt;=$E19),1,"")</x:f>
      </x:c>
      <x:c r="M19" t="str">
        <x:f>IF(AND(M$4&gt;=$D19,M$4&lt;=$E19),1,"")</x:f>
      </x:c>
      <x:c r="N19" t="str">
        <x:f>IF(AND(N$4&gt;=$D19,N$4&lt;=$E19),1,"")</x:f>
      </x:c>
      <x:c r="O19" t="str">
        <x:f>IF(AND(O$4&gt;=$D19,O$4&lt;=$E19),1,"")</x:f>
      </x:c>
      <x:c r="P19" t="str">
        <x:f>IF(AND(P$4&gt;=$D19,P$4&lt;=$E19),1,"")</x:f>
      </x:c>
      <x:c r="Q19" t="str">
        <x:f>IF(AND(Q$4&gt;=$D19,Q$4&lt;=$E19),1,"")</x:f>
      </x:c>
      <x:c r="R19" t="str">
        <x:f>IF(AND(R$4&gt;=$D19,R$4&lt;=$E19),1,"")</x:f>
      </x:c>
      <x:c r="S19" t="n">
        <x:f>IF(AND(S$4&gt;=$D19,S$4&lt;=$E19),1,"")</x:f>
        <x:v>1</x:v>
      </x:c>
      <x:c r="T19" t="n">
        <x:f>IF(AND(T$4&gt;=$D19,T$4&lt;=$E19),1,"")</x:f>
        <x:v>1</x:v>
      </x:c>
      <x:c r="U19" t="n">
        <x:f>IF(AND(U$4&gt;=$D19,U$4&lt;=$E19),1,"")</x:f>
        <x:v>1</x:v>
      </x:c>
      <x:c r="V19" t="n">
        <x:f>IF(AND(V$4&gt;=$D19,V$4&lt;=$E19),1,"")</x:f>
        <x:v>1</x:v>
      </x:c>
      <x:c r="W19" t="str">
        <x:f>IF(AND(W$4&gt;=$D19,W$4&lt;=$E19),1,"")</x:f>
      </x:c>
    </x:row>
    <x:row r="20">
      <x:c r="A20" s="26" t="str">
        <x:v>16</x:v>
      </x:c>
      <x:c r="B20" s="26" t="str">
        <x:v>Defect fixing &amp; regression testing</x:v>
      </x:c>
      <x:c r="C20" s="26" t="str">
        <x:v>Team 4</x:v>
      </x:c>
      <x:c r="D20" s="27" t="n">
        <x:v>46286</x:v>
      </x:c>
      <x:c r="E20" s="27" t="n">
        <x:v>46288</x:v>
      </x:c>
      <x:c r="F20" s="26" t="n">
        <x:f>E20-D20+1</x:f>
        <x:v>3</x:v>
      </x:c>
      <x:c r="G20" s="26" t="str">
        <x:v>Planned</x:v>
      </x:c>
      <x:c r="H20" s="26" t="str">
        <x:v>Sprint 2</x:v>
      </x:c>
      <x:c r="I20" t="str">
        <x:f>IF(AND(I$4&gt;=$D20,I$4&lt;=$E20),1,"")</x:f>
      </x:c>
      <x:c r="J20" t="str">
        <x:f>IF(AND(J$4&gt;=$D20,J$4&lt;=$E20),1,"")</x:f>
      </x:c>
      <x:c r="K20" t="str">
        <x:f>IF(AND(K$4&gt;=$D20,K$4&lt;=$E20),1,"")</x:f>
      </x:c>
      <x:c r="L20" t="str">
        <x:f>IF(AND(L$4&gt;=$D20,L$4&lt;=$E20),1,"")</x:f>
      </x:c>
      <x:c r="M20" t="str">
        <x:f>IF(AND(M$4&gt;=$D20,M$4&lt;=$E20),1,"")</x:f>
      </x:c>
      <x:c r="N20" t="str">
        <x:f>IF(AND(N$4&gt;=$D20,N$4&lt;=$E20),1,"")</x:f>
      </x:c>
      <x:c r="O20" t="str">
        <x:f>IF(AND(O$4&gt;=$D20,O$4&lt;=$E20),1,"")</x:f>
      </x:c>
      <x:c r="P20" t="str">
        <x:f>IF(AND(P$4&gt;=$D20,P$4&lt;=$E20),1,"")</x:f>
      </x:c>
      <x:c r="Q20" t="str">
        <x:f>IF(AND(Q$4&gt;=$D20,Q$4&lt;=$E20),1,"")</x:f>
      </x:c>
      <x:c r="R20" t="str">
        <x:f>IF(AND(R$4&gt;=$D20,R$4&lt;=$E20),1,"")</x:f>
      </x:c>
      <x:c r="S20" t="str">
        <x:f>IF(AND(S$4&gt;=$D20,S$4&lt;=$E20),1,"")</x:f>
      </x:c>
      <x:c r="T20" t="str">
        <x:f>IF(AND(T$4&gt;=$D20,T$4&lt;=$E20),1,"")</x:f>
      </x:c>
      <x:c r="U20" t="n">
        <x:f>IF(AND(U$4&gt;=$D20,U$4&lt;=$E20),1,"")</x:f>
        <x:v>1</x:v>
      </x:c>
      <x:c r="V20" t="n">
        <x:f>IF(AND(V$4&gt;=$D20,V$4&lt;=$E20),1,"")</x:f>
        <x:v>1</x:v>
      </x:c>
      <x:c r="W20" t="n">
        <x:f>IF(AND(W$4&gt;=$D20,W$4&lt;=$E20),1,"")</x:f>
        <x:v>1</x:v>
      </x:c>
    </x:row>
    <x:row r="21">
      <x:c r="A21" s="26" t="str">
        <x:v>17</x:v>
      </x:c>
      <x:c r="B21" s="26" t="str">
        <x:v>Group report &amp; evidence consolidation</x:v>
      </x:c>
      <x:c r="C21" s="26" t="str">
        <x:v>Caleb + Team</x:v>
      </x:c>
      <x:c r="D21" s="27" t="n">
        <x:v>46282</x:v>
      </x:c>
      <x:c r="E21" s="27" t="n">
        <x:v>46288</x:v>
      </x:c>
      <x:c r="F21" s="26" t="n">
        <x:f>E21-D21+1</x:f>
        <x:v>7</x:v>
      </x:c>
      <x:c r="G21" s="26" t="str">
        <x:v>Planned</x:v>
      </x:c>
      <x:c r="H21" s="26" t="str">
        <x:v>Submission Prep</x:v>
      </x:c>
      <x:c r="I21" t="str">
        <x:f>IF(AND(I$4&gt;=$D21,I$4&lt;=$E21),1,"")</x:f>
      </x:c>
      <x:c r="J21" t="str">
        <x:f>IF(AND(J$4&gt;=$D21,J$4&lt;=$E21),1,"")</x:f>
      </x:c>
      <x:c r="K21" t="str">
        <x:f>IF(AND(K$4&gt;=$D21,K$4&lt;=$E21),1,"")</x:f>
      </x:c>
      <x:c r="L21" t="str">
        <x:f>IF(AND(L$4&gt;=$D21,L$4&lt;=$E21),1,"")</x:f>
      </x:c>
      <x:c r="M21" t="str">
        <x:f>IF(AND(M$4&gt;=$D21,M$4&lt;=$E21),1,"")</x:f>
      </x:c>
      <x:c r="N21" t="str">
        <x:f>IF(AND(N$4&gt;=$D21,N$4&lt;=$E21),1,"")</x:f>
      </x:c>
      <x:c r="O21" t="str">
        <x:f>IF(AND(O$4&gt;=$D21,O$4&lt;=$E21),1,"")</x:f>
      </x:c>
      <x:c r="P21" t="str">
        <x:f>IF(AND(P$4&gt;=$D21,P$4&lt;=$E21),1,"")</x:f>
      </x:c>
      <x:c r="Q21" t="n">
        <x:f>IF(AND(Q$4&gt;=$D21,Q$4&lt;=$E21),1,"")</x:f>
        <x:v>1</x:v>
      </x:c>
      <x:c r="R21" t="n">
        <x:f>IF(AND(R$4&gt;=$D21,R$4&lt;=$E21),1,"")</x:f>
        <x:v>1</x:v>
      </x:c>
      <x:c r="S21" t="n">
        <x:f>IF(AND(S$4&gt;=$D21,S$4&lt;=$E21),1,"")</x:f>
        <x:v>1</x:v>
      </x:c>
      <x:c r="T21" t="n">
        <x:f>IF(AND(T$4&gt;=$D21,T$4&lt;=$E21),1,"")</x:f>
        <x:v>1</x:v>
      </x:c>
      <x:c r="U21" t="n">
        <x:f>IF(AND(U$4&gt;=$D21,U$4&lt;=$E21),1,"")</x:f>
        <x:v>1</x:v>
      </x:c>
      <x:c r="V21" t="n">
        <x:f>IF(AND(V$4&gt;=$D21,V$4&lt;=$E21),1,"")</x:f>
        <x:v>1</x:v>
      </x:c>
      <x:c r="W21" t="n">
        <x:f>IF(AND(W$4&gt;=$D21,W$4&lt;=$E21),1,"")</x:f>
        <x:v>1</x:v>
      </x:c>
    </x:row>
    <x:row r="22">
      <x:c r="A22" s="26" t="str">
        <x:v>18</x:v>
      </x:c>
      <x:c r="B22" s="26" t="str">
        <x:v>Individual reflection drafts</x:v>
      </x:c>
      <x:c r="C22" s="26" t="str">
        <x:v>All members</x:v>
      </x:c>
      <x:c r="D22" s="27" t="n">
        <x:v>46285</x:v>
      </x:c>
      <x:c r="E22" s="27" t="n">
        <x:v>46288</x:v>
      </x:c>
      <x:c r="F22" s="26" t="n">
        <x:f>E22-D22+1</x:f>
        <x:v>4</x:v>
      </x:c>
      <x:c r="G22" s="26" t="str">
        <x:v>Planned</x:v>
      </x:c>
      <x:c r="H22" s="26" t="str">
        <x:v>Submission Prep</x:v>
      </x:c>
      <x:c r="I22" t="str">
        <x:f>IF(AND(I$4&gt;=$D22,I$4&lt;=$E22),1,"")</x:f>
      </x:c>
      <x:c r="J22" t="str">
        <x:f>IF(AND(J$4&gt;=$D22,J$4&lt;=$E22),1,"")</x:f>
      </x:c>
      <x:c r="K22" t="str">
        <x:f>IF(AND(K$4&gt;=$D22,K$4&lt;=$E22),1,"")</x:f>
      </x:c>
      <x:c r="L22" t="str">
        <x:f>IF(AND(L$4&gt;=$D22,L$4&lt;=$E22),1,"")</x:f>
      </x:c>
      <x:c r="M22" t="str">
        <x:f>IF(AND(M$4&gt;=$D22,M$4&lt;=$E22),1,"")</x:f>
      </x:c>
      <x:c r="N22" t="str">
        <x:f>IF(AND(N$4&gt;=$D22,N$4&lt;=$E22),1,"")</x:f>
      </x:c>
      <x:c r="O22" t="str">
        <x:f>IF(AND(O$4&gt;=$D22,O$4&lt;=$E22),1,"")</x:f>
      </x:c>
      <x:c r="P22" t="str">
        <x:f>IF(AND(P$4&gt;=$D22,P$4&lt;=$E22),1,"")</x:f>
      </x:c>
      <x:c r="Q22" t="str">
        <x:f>IF(AND(Q$4&gt;=$D22,Q$4&lt;=$E22),1,"")</x:f>
      </x:c>
      <x:c r="R22" t="str">
        <x:f>IF(AND(R$4&gt;=$D22,R$4&lt;=$E22),1,"")</x:f>
      </x:c>
      <x:c r="S22" t="str">
        <x:f>IF(AND(S$4&gt;=$D22,S$4&lt;=$E22),1,"")</x:f>
      </x:c>
      <x:c r="T22" t="n">
        <x:f>IF(AND(T$4&gt;=$D22,T$4&lt;=$E22),1,"")</x:f>
        <x:v>1</x:v>
      </x:c>
      <x:c r="U22" t="n">
        <x:f>IF(AND(U$4&gt;=$D22,U$4&lt;=$E22),1,"")</x:f>
        <x:v>1</x:v>
      </x:c>
      <x:c r="V22" t="n">
        <x:f>IF(AND(V$4&gt;=$D22,V$4&lt;=$E22),1,"")</x:f>
        <x:v>1</x:v>
      </x:c>
      <x:c r="W22" t="n">
        <x:f>IF(AND(W$4&gt;=$D22,W$4&lt;=$E22),1,"")</x:f>
        <x:v>1</x:v>
      </x:c>
    </x:row>
    <x:row r="23">
      <x:c r="A23" s="26" t="str">
        <x:v>19</x:v>
      </x:c>
      <x:c r="B23" s="26" t="str">
        <x:v>Final QA / submission-readiness review</x:v>
      </x:c>
      <x:c r="C23" s="26" t="str">
        <x:v>Team 4 / Caleb</x:v>
      </x:c>
      <x:c r="D23" s="27" t="n">
        <x:v>46288</x:v>
      </x:c>
      <x:c r="E23" s="27" t="n">
        <x:v>46288</x:v>
      </x:c>
      <x:c r="F23" s="26" t="n">
        <x:f>E23-D23+1</x:f>
        <x:v>1</x:v>
      </x:c>
      <x:c r="G23" s="26" t="str">
        <x:v>Planned</x:v>
      </x:c>
      <x:c r="H23" s="26" t="str">
        <x:v>Milestone 2</x:v>
      </x:c>
      <x:c r="I23" t="str">
        <x:f>IF(AND(I$4&gt;=$D23,I$4&lt;=$E23),1,"")</x:f>
      </x:c>
      <x:c r="J23" t="str">
        <x:f>IF(AND(J$4&gt;=$D23,J$4&lt;=$E23),1,"")</x:f>
      </x:c>
      <x:c r="K23" t="str">
        <x:f>IF(AND(K$4&gt;=$D23,K$4&lt;=$E23),1,"")</x:f>
      </x:c>
      <x:c r="L23" t="str">
        <x:f>IF(AND(L$4&gt;=$D23,L$4&lt;=$E23),1,"")</x:f>
      </x:c>
      <x:c r="M23" t="str">
        <x:f>IF(AND(M$4&gt;=$D23,M$4&lt;=$E23),1,"")</x:f>
      </x:c>
      <x:c r="N23" t="str">
        <x:f>IF(AND(N$4&gt;=$D23,N$4&lt;=$E23),1,"")</x:f>
      </x:c>
      <x:c r="O23" t="str">
        <x:f>IF(AND(O$4&gt;=$D23,O$4&lt;=$E23),1,"")</x:f>
      </x:c>
      <x:c r="P23" t="str">
        <x:f>IF(AND(P$4&gt;=$D23,P$4&lt;=$E23),1,"")</x:f>
      </x:c>
      <x:c r="Q23" t="str">
        <x:f>IF(AND(Q$4&gt;=$D23,Q$4&lt;=$E23),1,"")</x:f>
      </x:c>
      <x:c r="R23" t="str">
        <x:f>IF(AND(R$4&gt;=$D23,R$4&lt;=$E23),1,"")</x:f>
      </x:c>
      <x:c r="S23" t="str">
        <x:f>IF(AND(S$4&gt;=$D23,S$4&lt;=$E23),1,"")</x:f>
      </x:c>
      <x:c r="T23" t="str">
        <x:f>IF(AND(T$4&gt;=$D23,T$4&lt;=$E23),1,"")</x:f>
      </x:c>
      <x:c r="U23" t="str">
        <x:f>IF(AND(U$4&gt;=$D23,U$4&lt;=$E23),1,"")</x:f>
      </x:c>
      <x:c r="V23" t="str">
        <x:f>IF(AND(V$4&gt;=$D23,V$4&lt;=$E23),1,"")</x:f>
      </x:c>
      <x:c r="W23" t="n">
        <x:f>IF(AND(W$4&gt;=$D23,W$4&lt;=$E23),1,"")</x:f>
        <x:v>1</x:v>
      </x:c>
    </x:row>
    <x:row r="25">
      <x:c r="A25" s="31" t="str">
        <x:v>Legend: Blue = planned task duration | Green = milestone / one-day review</x:v>
      </x:c>
      <x:c r="B25" s="31"/>
      <x:c r="C25" s="31"/>
      <x:c r="D25" s="31"/>
      <x:c r="E25" s="31"/>
      <x:c r="F25" s="31"/>
      <x:c r="G25" s="31"/>
      <x:c r="H25" s="31"/>
    </x:row>
  </x:sheetData>
  <x:mergeCells>
    <x:mergeCell ref="A1:W1"/>
    <x:mergeCell ref="A2:W2"/>
    <x:mergeCell ref="A25:H25"/>
  </x:mergeCells>
  <x:conditionalFormatting sqref="I5:W23">
    <x:cfRule type="expression" dxfId="0" priority="1">
      <x:formula>I5=1</x:formula>
    </x:cfRule>
    <x:cfRule type="expression" dxfId="1" priority="2">
      <x:formula>AND(I5=1,$D5=$E5)</x:formula>
    </x:cfRule>
  </x:conditionalFormatting>
  <x:dataValidations count="1">
    <x:dataValidation type="list" sqref="G5:G23">
      <x:formula1>"Planned,In Progress,Review,Done,Blocked"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24" hidden="0" customWidth="1"/>
    <x:col min="5" max="5" width="16" hidden="0" customWidth="1"/>
    <x:col min="6" max="6" width="30" hidden="0" customWidth="1"/>
  </x:cols>
  <x:sheetData>
    <x:row r="1">
      <x:c r="A1" s="35" t="str">
        <x:v>VaultFive — Accelerated September Plan</x:v>
      </x:c>
      <x:c r="B1" s="35"/>
      <x:c r="C1" s="35"/>
      <x:c r="D1" s="35"/>
      <x:c r="E1" s="35"/>
      <x:c r="F1" s="35"/>
    </x:row>
    <x:row r="3">
      <x:c r="A3" s="17" t="str">
        <x:v>Period</x:v>
      </x:c>
      <x:c r="B3" s="17" t="str">
        <x:v>Primary Goal</x:v>
      </x:c>
      <x:c r="C3" s="17" t="str">
        <x:v>Key Outputs</x:v>
      </x:c>
      <x:c r="D3" s="17" t="str">
        <x:v>Lead(s)</x:v>
      </x:c>
      <x:c r="E3" s="17" t="str">
        <x:v>Review Point</x:v>
      </x:c>
      <x:c r="F3" s="17" t="str">
        <x:v>Planned Outcome</x:v>
      </x:c>
    </x:row>
    <x:row r="4">
      <x:c r="A4" s="26" t="str">
        <x:v>9–15 Sep</x:v>
      </x:c>
      <x:c r="B4" s="26" t="str">
        <x:v>Sprint 1 baseline</x:v>
      </x:c>
      <x:c r="C4" s="26" t="str">
        <x:v>Requirements v1; MoSCoW; risk register; test plan; wireframes; architecture/PoC</x:v>
      </x:c>
      <x:c r="D4" s="26" t="str">
        <x:v>All, coordinated by Caleb</x:v>
      </x:c>
      <x:c r="E4" s="26" t="str">
        <x:v>16 Sep</x:v>
      </x:c>
      <x:c r="F4" s="26" t="str">
        <x:v>Baseline ready for implementation</x:v>
      </x:c>
    </x:row>
    <x:row r="5">
      <x:c r="A5" s="26" t="str">
        <x:v>16–20 Sep</x:v>
      </x:c>
      <x:c r="B5" s="26" t="str">
        <x:v>Core integration</x:v>
      </x:c>
      <x:c r="C5" s="26" t="str">
        <x:v>Desktop app; authentication; CRUD; UI integration; storage/security review</x:v>
      </x:c>
      <x:c r="D5" s="26" t="str">
        <x:v>Aaron + Team</x:v>
      </x:c>
      <x:c r="E5" s="26" t="str">
        <x:v>Ongoing</x:v>
      </x:c>
      <x:c r="F5" s="26" t="str">
        <x:v>Core product workflow working</x:v>
      </x:c>
    </x:row>
    <x:row r="6">
      <x:c r="A6" s="26" t="str">
        <x:v>21–23 Sep</x:v>
      </x:c>
      <x:c r="B6" s="26" t="str">
        <x:v>Verification &amp; submission readiness</x:v>
      </x:c>
      <x:c r="C6" s="26" t="str">
        <x:v>Defect fixes; regression; evidence; report; reflection drafts; final QA</x:v>
      </x:c>
      <x:c r="D6" s="26" t="str">
        <x:v>All, coordinated by Caleb</x:v>
      </x:c>
      <x:c r="E6" s="26" t="str">
        <x:v>23 Sep</x:v>
      </x:c>
      <x:c r="F6" s="26" t="str">
        <x:v>Submission-ready package</x:v>
      </x:c>
    </x:row>
  </x:sheetData>
  <x:mergeCells>
    <x:mergeCell ref="A1:F1"/>
  </x:mergeCells>
  <x:pageMargins left="0.7" right="0.7" top="0.75" bottom="0.75" header="0.3" footer="0.3"/>
</x:worksheet>
</file>